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H40" i="1" l="1"/>
  <c r="I40" i="1"/>
  <c r="J40" i="1" s="1"/>
  <c r="K40" i="1" s="1"/>
  <c r="K38" i="1"/>
  <c r="K37" i="1"/>
  <c r="J38" i="1"/>
  <c r="J37" i="1"/>
  <c r="I38" i="1"/>
  <c r="I37" i="1"/>
  <c r="H38" i="1"/>
  <c r="F38" i="1"/>
  <c r="F39" i="1"/>
  <c r="H39" i="1" s="1"/>
  <c r="I39" i="1" s="1"/>
  <c r="J39" i="1" s="1"/>
  <c r="K39" i="1" s="1"/>
  <c r="F40" i="1"/>
  <c r="F37" i="1"/>
  <c r="H37" i="1" s="1"/>
  <c r="G39" i="1"/>
  <c r="G40" i="1"/>
  <c r="E40" i="1"/>
  <c r="E39" i="1"/>
  <c r="E37" i="1"/>
  <c r="G37" i="1" s="1"/>
  <c r="E38" i="1"/>
  <c r="G38" i="1" s="1"/>
  <c r="D23" i="1"/>
  <c r="E23" i="1"/>
  <c r="F23" i="1"/>
  <c r="G23" i="1"/>
  <c r="H23" i="1"/>
  <c r="I23" i="1"/>
  <c r="J23" i="1"/>
  <c r="K23" i="1"/>
  <c r="L23" i="1"/>
  <c r="C23" i="1"/>
  <c r="D16" i="1"/>
  <c r="E16" i="1"/>
  <c r="F16" i="1"/>
  <c r="G16" i="1"/>
  <c r="H16" i="1"/>
  <c r="C16" i="1"/>
</calcChain>
</file>

<file path=xl/sharedStrings.xml><?xml version="1.0" encoding="utf-8"?>
<sst xmlns="http://schemas.openxmlformats.org/spreadsheetml/2006/main" count="74" uniqueCount="54">
  <si>
    <t>N,Дж</t>
  </si>
  <si>
    <t>I,А</t>
  </si>
  <si>
    <t>МГц</t>
  </si>
  <si>
    <t>№</t>
  </si>
  <si>
    <t>I, A</t>
  </si>
  <si>
    <t>T</t>
  </si>
  <si>
    <t>tau, мкс</t>
  </si>
  <si>
    <t>T, мкс</t>
  </si>
  <si>
    <t>sigma_T, мкс</t>
  </si>
  <si>
    <t>x</t>
  </si>
  <si>
    <t>?</t>
  </si>
  <si>
    <t>мощность лазера от тока накачки</t>
  </si>
  <si>
    <t>релаксационные колебания: период и время затухания от превышения над порогом</t>
  </si>
  <si>
    <t>пик релаксационного шума от превышения над порогом</t>
  </si>
  <si>
    <t>кГц</t>
  </si>
  <si>
    <t>допвопрос</t>
  </si>
  <si>
    <t>тип лазера</t>
  </si>
  <si>
    <t>He-Ne</t>
  </si>
  <si>
    <t>YAG:Nd$^{3+}$</t>
  </si>
  <si>
    <t>полупроводниковый</t>
  </si>
  <si>
    <t>волоконный</t>
  </si>
  <si>
    <t>L, м</t>
  </si>
  <si>
    <t>\gamma</t>
  </si>
  <si>
    <t>\tau_{уровня}</t>
  </si>
  <si>
    <t>t_0</t>
  </si>
  <si>
    <t>1 нс</t>
  </si>
  <si>
    <t>1,45 мс</t>
  </si>
  <si>
    <t>omega, рад/с</t>
  </si>
  <si>
    <t>nu</t>
  </si>
  <si>
    <t>N_{колебаний}</t>
  </si>
  <si>
    <t>100 нс</t>
  </si>
  <si>
    <t>230 мкс</t>
  </si>
  <si>
    <t>800мкс</t>
  </si>
  <si>
    <t>\tau_{фотона}</t>
  </si>
  <si>
    <t>15 нс</t>
  </si>
  <si>
    <t>150 нс</t>
  </si>
  <si>
    <t>182 нс</t>
  </si>
  <si>
    <t>418 мкс</t>
  </si>
  <si>
    <t>1,8 нс</t>
  </si>
  <si>
    <t>8,2 10^6</t>
  </si>
  <si>
    <t>171 10^3</t>
  </si>
  <si>
    <t>29 10^3</t>
  </si>
  <si>
    <t>1,3 МГц</t>
  </si>
  <si>
    <t>27 кГц</t>
  </si>
  <si>
    <t>4,6 кГц</t>
  </si>
  <si>
    <t>768 нс</t>
  </si>
  <si>
    <t>37 мкс</t>
  </si>
  <si>
    <t>217 мкс</t>
  </si>
  <si>
    <t>-</t>
  </si>
  <si>
    <t>5*10^{-4}</t>
  </si>
  <si>
    <t>15 пс</t>
  </si>
  <si>
    <t>2,6 10^9</t>
  </si>
  <si>
    <t>412 МГц</t>
  </si>
  <si>
    <t>2,4 пс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</si>
</sst>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0" fillId="0" borderId="0" xfId="0" applyBorder="1"/>
    <xf numFmtId="0" fontId="1" fillId="0" borderId="0" xfId="0" applyFont="1" applyFill="1" applyBorder="1" applyAlignment="1">
      <alignment horizontal="right" wrapText="1"/>
    </xf>
    <xf numFmtId="2" fontId="1" fillId="0" borderId="0" xfId="0" applyNumberFormat="1" applyFont="1" applyBorder="1" applyAlignment="1">
      <alignment horizontal="right" wrapText="1"/>
    </xf>
    <xf numFmtId="2" fontId="0" fillId="0" borderId="0" xfId="0" applyNumberFormat="1"/>
    <xf numFmtId="0" fontId="0" fillId="2" borderId="0" xfId="0" applyFill="1"/>
    <xf numFmtId="11" fontId="0" fillId="0" borderId="0" xfId="0" applyNumberFormat="1"/>
    <xf numFmtId="11" fontId="1" fillId="0" borderId="0" xfId="0" applyNumberFormat="1" applyFont="1" applyBorder="1" applyAlignment="1">
      <alignment horizontal="right" wrapText="1"/>
    </xf>
    <xf numFmtId="11" fontId="0" fillId="2" borderId="0" xfId="0" applyNumberFormat="1" applyFill="1"/>
    <xf numFmtId="11" fontId="1" fillId="0" borderId="0" xfId="0" applyNumberFormat="1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topLeftCell="A35" workbookViewId="0">
      <selection activeCell="B29" sqref="B29:L33"/>
    </sheetView>
  </sheetViews>
  <sheetFormatPr defaultRowHeight="14.5" x14ac:dyDescent="0.35"/>
  <cols>
    <col min="2" max="2" width="11.6328125" bestFit="1" customWidth="1"/>
    <col min="3" max="3" width="11.453125" bestFit="1" customWidth="1"/>
    <col min="4" max="4" width="9.36328125" bestFit="1" customWidth="1"/>
    <col min="5" max="5" width="12.90625" customWidth="1"/>
    <col min="6" max="6" width="12.453125" bestFit="1" customWidth="1"/>
    <col min="7" max="8" width="9.36328125" bestFit="1" customWidth="1"/>
  </cols>
  <sheetData>
    <row r="1" spans="1:17" x14ac:dyDescent="0.35">
      <c r="C1" t="s">
        <v>11</v>
      </c>
    </row>
    <row r="3" spans="1:17" ht="15" thickBot="1" x14ac:dyDescent="0.4">
      <c r="B3" t="s">
        <v>3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</row>
    <row r="4" spans="1:17" ht="15" thickBot="1" x14ac:dyDescent="0.4">
      <c r="B4" s="1" t="s">
        <v>0</v>
      </c>
      <c r="C4" s="2">
        <v>0.3</v>
      </c>
      <c r="D4" s="2">
        <v>1.8</v>
      </c>
      <c r="E4" s="2">
        <v>4.5</v>
      </c>
      <c r="F4" s="2">
        <v>7.2</v>
      </c>
      <c r="G4" s="2">
        <v>9.6</v>
      </c>
      <c r="H4" s="2">
        <v>12.3</v>
      </c>
      <c r="I4" s="2">
        <v>17</v>
      </c>
      <c r="J4" s="2">
        <v>20</v>
      </c>
      <c r="K4" s="2">
        <v>23</v>
      </c>
      <c r="L4" s="2">
        <v>27</v>
      </c>
      <c r="M4" s="2">
        <v>30</v>
      </c>
      <c r="N4" s="2">
        <v>34</v>
      </c>
      <c r="O4" s="2">
        <v>36</v>
      </c>
      <c r="P4" s="2">
        <v>39</v>
      </c>
      <c r="Q4" s="2">
        <v>42</v>
      </c>
    </row>
    <row r="5" spans="1:17" ht="15" thickBot="1" x14ac:dyDescent="0.4">
      <c r="B5" s="1" t="s">
        <v>1</v>
      </c>
      <c r="C5" s="2">
        <v>3.0000000000000001E-3</v>
      </c>
      <c r="D5" s="2">
        <v>0.98</v>
      </c>
      <c r="E5" s="2">
        <v>1.1100000000000001</v>
      </c>
      <c r="F5" s="2">
        <v>1.22</v>
      </c>
      <c r="G5" s="2">
        <v>1.31</v>
      </c>
      <c r="H5" s="2">
        <v>1.42</v>
      </c>
      <c r="I5" s="2">
        <v>1.53</v>
      </c>
      <c r="J5" s="2">
        <v>1.6</v>
      </c>
      <c r="K5" s="2">
        <v>1.72</v>
      </c>
      <c r="L5" s="2">
        <v>1.82</v>
      </c>
      <c r="M5" s="2">
        <v>1.92</v>
      </c>
      <c r="N5" s="2">
        <v>2.0499999999999998</v>
      </c>
      <c r="O5" s="2">
        <v>2.13</v>
      </c>
      <c r="P5" s="2">
        <v>2.21</v>
      </c>
      <c r="Q5" s="2">
        <v>2.36</v>
      </c>
    </row>
    <row r="6" spans="1:17" ht="15" thickBot="1" x14ac:dyDescent="0.4">
      <c r="A6" t="s">
        <v>10</v>
      </c>
      <c r="B6" s="1" t="s">
        <v>2</v>
      </c>
      <c r="C6" s="2">
        <v>1.22</v>
      </c>
      <c r="D6" s="2">
        <v>1.28</v>
      </c>
      <c r="E6" s="2">
        <v>1.65</v>
      </c>
      <c r="F6" s="2">
        <v>1.7</v>
      </c>
      <c r="G6" s="2">
        <v>1.72</v>
      </c>
      <c r="H6" s="2">
        <v>1.75</v>
      </c>
      <c r="I6" s="2">
        <v>1.76</v>
      </c>
      <c r="J6" s="2">
        <v>1.77</v>
      </c>
      <c r="K6" s="2">
        <v>1.78</v>
      </c>
      <c r="L6" s="2">
        <v>1.79</v>
      </c>
      <c r="M6" s="2">
        <v>1.79</v>
      </c>
      <c r="N6" s="2">
        <v>1.71</v>
      </c>
      <c r="O6" s="2">
        <v>1.72</v>
      </c>
      <c r="P6" s="2">
        <v>1.71</v>
      </c>
      <c r="Q6" s="2">
        <v>1.67</v>
      </c>
    </row>
    <row r="7" spans="1:17" x14ac:dyDescent="0.35">
      <c r="B7" s="3"/>
      <c r="C7" s="3"/>
      <c r="D7" s="3"/>
    </row>
    <row r="8" spans="1:17" x14ac:dyDescent="0.35">
      <c r="B8" s="3"/>
      <c r="C8" s="3"/>
      <c r="D8" s="3"/>
    </row>
    <row r="9" spans="1:17" x14ac:dyDescent="0.35">
      <c r="C9" t="s">
        <v>12</v>
      </c>
    </row>
    <row r="11" spans="1:17" x14ac:dyDescent="0.35">
      <c r="B11" s="3" t="s">
        <v>3</v>
      </c>
      <c r="C11" s="3">
        <v>1</v>
      </c>
      <c r="D11" s="3">
        <v>2</v>
      </c>
      <c r="E11" s="3">
        <v>3</v>
      </c>
      <c r="F11" s="3">
        <v>4</v>
      </c>
      <c r="G11" s="3">
        <v>5</v>
      </c>
      <c r="H11" s="3">
        <v>6</v>
      </c>
    </row>
    <row r="12" spans="1:17" x14ac:dyDescent="0.35">
      <c r="B12" s="3" t="s">
        <v>4</v>
      </c>
      <c r="C12" s="3">
        <v>1.19</v>
      </c>
      <c r="D12" s="3">
        <v>1.49</v>
      </c>
      <c r="E12">
        <v>1.76</v>
      </c>
      <c r="F12">
        <v>1.89</v>
      </c>
      <c r="G12" s="5">
        <v>2.0299999999999998</v>
      </c>
      <c r="H12" s="5">
        <v>2.23</v>
      </c>
    </row>
    <row r="13" spans="1:17" x14ac:dyDescent="0.35">
      <c r="B13" s="3" t="s">
        <v>7</v>
      </c>
      <c r="C13" s="3">
        <v>27.18</v>
      </c>
      <c r="D13" s="3">
        <v>20.97</v>
      </c>
      <c r="E13">
        <v>18.16</v>
      </c>
      <c r="F13">
        <v>17.2</v>
      </c>
      <c r="G13" s="5">
        <v>15.62</v>
      </c>
      <c r="H13" s="5">
        <v>14.52</v>
      </c>
    </row>
    <row r="14" spans="1:17" x14ac:dyDescent="0.35">
      <c r="B14" t="s">
        <v>8</v>
      </c>
      <c r="C14" s="3">
        <v>0.85</v>
      </c>
      <c r="D14" s="3">
        <v>0.46</v>
      </c>
      <c r="E14">
        <v>0.66</v>
      </c>
      <c r="F14">
        <v>0.25</v>
      </c>
      <c r="G14">
        <v>0.45</v>
      </c>
      <c r="H14">
        <v>0.37</v>
      </c>
    </row>
    <row r="15" spans="1:17" x14ac:dyDescent="0.35">
      <c r="B15" s="3" t="s">
        <v>6</v>
      </c>
      <c r="C15" s="3">
        <v>241</v>
      </c>
      <c r="D15" s="3">
        <v>162</v>
      </c>
      <c r="E15">
        <v>220</v>
      </c>
      <c r="F15">
        <v>213</v>
      </c>
      <c r="G15" s="5">
        <v>115</v>
      </c>
      <c r="H15" s="5">
        <v>158</v>
      </c>
    </row>
    <row r="16" spans="1:17" x14ac:dyDescent="0.35">
      <c r="B16" s="3" t="s">
        <v>9</v>
      </c>
      <c r="C16" s="6">
        <f>C12/0.91</f>
        <v>1.3076923076923075</v>
      </c>
      <c r="D16" s="6">
        <f t="shared" ref="D16:H16" si="0">D12/0.91</f>
        <v>1.6373626373626373</v>
      </c>
      <c r="E16" s="6">
        <f t="shared" si="0"/>
        <v>1.9340659340659341</v>
      </c>
      <c r="F16" s="6">
        <f t="shared" si="0"/>
        <v>2.0769230769230766</v>
      </c>
      <c r="G16" s="6">
        <f t="shared" si="0"/>
        <v>2.2307692307692304</v>
      </c>
      <c r="H16" s="6">
        <f t="shared" si="0"/>
        <v>2.4505494505494503</v>
      </c>
    </row>
    <row r="17" spans="2:12" x14ac:dyDescent="0.35">
      <c r="B17" s="3"/>
      <c r="C17" s="3"/>
      <c r="D17" s="3"/>
    </row>
    <row r="18" spans="2:12" x14ac:dyDescent="0.35">
      <c r="B18" s="4"/>
      <c r="C18" s="4"/>
      <c r="D18" s="4"/>
    </row>
    <row r="19" spans="2:12" x14ac:dyDescent="0.35">
      <c r="C19" t="s">
        <v>13</v>
      </c>
    </row>
    <row r="21" spans="2:12" ht="15" thickBot="1" x14ac:dyDescent="0.4">
      <c r="B21" t="s">
        <v>3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v>7</v>
      </c>
      <c r="J21">
        <v>8</v>
      </c>
      <c r="K21">
        <v>9</v>
      </c>
      <c r="L21">
        <v>10</v>
      </c>
    </row>
    <row r="22" spans="2:12" ht="15" thickBot="1" x14ac:dyDescent="0.4">
      <c r="B22" s="1" t="s">
        <v>1</v>
      </c>
      <c r="C22" s="2">
        <v>1.18</v>
      </c>
      <c r="D22" s="2">
        <v>1.28</v>
      </c>
      <c r="E22" s="2">
        <v>1.39</v>
      </c>
      <c r="F22" s="2">
        <v>1.47</v>
      </c>
      <c r="G22" s="2">
        <v>1.56</v>
      </c>
      <c r="H22" s="2">
        <v>1.64</v>
      </c>
      <c r="I22" s="2">
        <v>1.75</v>
      </c>
      <c r="J22" s="2">
        <v>1.84</v>
      </c>
      <c r="K22" s="2">
        <v>1.97</v>
      </c>
      <c r="L22" s="2">
        <v>2.08</v>
      </c>
    </row>
    <row r="23" spans="2:12" ht="15" thickBot="1" x14ac:dyDescent="0.4">
      <c r="B23" t="s">
        <v>9</v>
      </c>
      <c r="C23" s="7">
        <f>C22/0.91</f>
        <v>1.2967032967032965</v>
      </c>
      <c r="D23" s="7">
        <f t="shared" ref="D23:L23" si="1">D22/0.91</f>
        <v>1.4065934065934065</v>
      </c>
      <c r="E23" s="7">
        <f t="shared" si="1"/>
        <v>1.5274725274725274</v>
      </c>
      <c r="F23" s="7">
        <f t="shared" si="1"/>
        <v>1.6153846153846152</v>
      </c>
      <c r="G23" s="7">
        <f t="shared" si="1"/>
        <v>1.7142857142857142</v>
      </c>
      <c r="H23" s="7">
        <f t="shared" si="1"/>
        <v>1.802197802197802</v>
      </c>
      <c r="I23" s="7">
        <f t="shared" si="1"/>
        <v>1.9230769230769229</v>
      </c>
      <c r="J23" s="7">
        <f t="shared" si="1"/>
        <v>2.0219780219780219</v>
      </c>
      <c r="K23" s="7">
        <f t="shared" si="1"/>
        <v>2.1648351648351647</v>
      </c>
      <c r="L23" s="7">
        <f t="shared" si="1"/>
        <v>2.2857142857142856</v>
      </c>
    </row>
    <row r="24" spans="2:12" ht="15" thickBot="1" x14ac:dyDescent="0.4">
      <c r="B24" s="1" t="s">
        <v>14</v>
      </c>
      <c r="C24" s="2">
        <v>22.25</v>
      </c>
      <c r="D24" s="2">
        <v>27.86</v>
      </c>
      <c r="E24" s="2">
        <v>31.52</v>
      </c>
      <c r="F24" s="2">
        <v>33.72</v>
      </c>
      <c r="G24" s="2">
        <v>37.14</v>
      </c>
      <c r="H24" s="2">
        <v>38.85</v>
      </c>
      <c r="I24" s="2">
        <v>42.02</v>
      </c>
      <c r="J24" s="2">
        <v>45.7</v>
      </c>
      <c r="K24" s="2">
        <v>49.35</v>
      </c>
      <c r="L24" s="2">
        <v>51.54</v>
      </c>
    </row>
    <row r="25" spans="2:12" x14ac:dyDescent="0.35">
      <c r="D25" s="3"/>
      <c r="E25" s="3"/>
    </row>
    <row r="26" spans="2:12" x14ac:dyDescent="0.35">
      <c r="D26" s="3"/>
      <c r="E26" s="3"/>
    </row>
    <row r="27" spans="2:12" x14ac:dyDescent="0.35">
      <c r="C27" t="s">
        <v>15</v>
      </c>
      <c r="D27" s="3"/>
      <c r="E27" s="3"/>
    </row>
    <row r="28" spans="2:12" x14ac:dyDescent="0.35">
      <c r="D28" s="3"/>
      <c r="E28" s="3"/>
    </row>
    <row r="29" spans="2:12" x14ac:dyDescent="0.35">
      <c r="D29" s="3"/>
      <c r="E29" s="3"/>
    </row>
    <row r="30" spans="2:12" x14ac:dyDescent="0.35">
      <c r="D30" s="3"/>
      <c r="E30" s="3"/>
      <c r="F30" s="8"/>
      <c r="G30" s="8"/>
    </row>
    <row r="31" spans="2:12" x14ac:dyDescent="0.35">
      <c r="D31" s="3"/>
      <c r="E31" s="3"/>
      <c r="F31" s="8"/>
      <c r="G31" s="8"/>
    </row>
    <row r="32" spans="2:12" x14ac:dyDescent="0.35">
      <c r="F32" s="8"/>
      <c r="G32" s="8"/>
    </row>
    <row r="33" spans="2:11" x14ac:dyDescent="0.35">
      <c r="D33" s="5"/>
      <c r="E33" s="5"/>
      <c r="F33" s="8"/>
      <c r="G33" s="8"/>
    </row>
    <row r="36" spans="2:11" x14ac:dyDescent="0.35">
      <c r="B36" t="s">
        <v>16</v>
      </c>
      <c r="C36" t="s">
        <v>21</v>
      </c>
      <c r="D36" s="3" t="s">
        <v>22</v>
      </c>
      <c r="E36" s="3" t="s">
        <v>23</v>
      </c>
      <c r="F36" t="s">
        <v>33</v>
      </c>
      <c r="G36" t="s">
        <v>24</v>
      </c>
      <c r="H36" t="s">
        <v>27</v>
      </c>
      <c r="I36" t="s">
        <v>28</v>
      </c>
      <c r="J36" t="s">
        <v>5</v>
      </c>
      <c r="K36" t="s">
        <v>29</v>
      </c>
    </row>
    <row r="37" spans="2:11" x14ac:dyDescent="0.35">
      <c r="B37" t="s">
        <v>17</v>
      </c>
      <c r="C37" s="9">
        <v>0.5</v>
      </c>
      <c r="D37" s="10">
        <v>0.99</v>
      </c>
      <c r="E37" s="10">
        <f>100 * 10^(-9)</f>
        <v>1.0000000000000001E-7</v>
      </c>
      <c r="F37">
        <f>-2*C37/(3 * 10^8 * LN(0.8))</f>
        <v>1.4938067059081838E-8</v>
      </c>
      <c r="G37" s="11">
        <f>2*E37/1.1</f>
        <v>1.8181818181818183E-7</v>
      </c>
      <c r="H37" s="9">
        <f>SQRT(0.1 / (E37*F37))</f>
        <v>8181874.1981445123</v>
      </c>
      <c r="I37" s="9">
        <f>H37/(2*PI())</f>
        <v>1302185.7223907367</v>
      </c>
      <c r="J37" s="9">
        <f>1/I37</f>
        <v>7.679396132251079E-7</v>
      </c>
      <c r="K37" s="9">
        <f>G37/J37</f>
        <v>0.23676104043467941</v>
      </c>
    </row>
    <row r="38" spans="2:11" x14ac:dyDescent="0.35">
      <c r="B38" t="s">
        <v>18</v>
      </c>
      <c r="C38" s="9">
        <v>0.5</v>
      </c>
      <c r="D38" s="10">
        <v>0.97</v>
      </c>
      <c r="E38" s="10">
        <f>230 * 10^(-6)</f>
        <v>2.2999999999999998E-4</v>
      </c>
      <c r="F38">
        <f t="shared" ref="F38:F40" si="2">-2*C38/(3 * 10^8 * LN(0.8))</f>
        <v>1.4938067059081838E-8</v>
      </c>
      <c r="G38" s="11">
        <f>2 * E38/1.1</f>
        <v>4.1818181818181809E-4</v>
      </c>
      <c r="H38" s="9">
        <f t="shared" ref="H38:H39" si="3">SQRT(0.1 / (E38*F38))</f>
        <v>170603.87043148014</v>
      </c>
      <c r="I38" s="9">
        <f t="shared" ref="I38:I40" si="4">H38/(2*PI())</f>
        <v>27152.44928977931</v>
      </c>
      <c r="J38" s="9">
        <f t="shared" ref="J38:J40" si="5">1/I38</f>
        <v>3.6829090051055496E-5</v>
      </c>
      <c r="K38" s="9">
        <f t="shared" ref="K38:K40" si="6">G38/J38</f>
        <v>11.354660612089527</v>
      </c>
    </row>
    <row r="39" spans="2:11" x14ac:dyDescent="0.35">
      <c r="B39" t="s">
        <v>19</v>
      </c>
      <c r="C39" s="9">
        <f>5*10^(-4)</f>
        <v>5.0000000000000001E-4</v>
      </c>
      <c r="D39" s="9">
        <v>0.5</v>
      </c>
      <c r="E39" s="9">
        <f>10^(-9)</f>
        <v>1.0000000000000001E-9</v>
      </c>
      <c r="F39">
        <f t="shared" si="2"/>
        <v>1.4938067059081835E-11</v>
      </c>
      <c r="G39" s="11">
        <f>2*E39/1.1</f>
        <v>1.8181818181818182E-9</v>
      </c>
      <c r="H39" s="9">
        <f t="shared" si="3"/>
        <v>2587335799.5100465</v>
      </c>
      <c r="I39" s="9">
        <f t="shared" si="4"/>
        <v>411787281.93064499</v>
      </c>
      <c r="J39" s="9">
        <f t="shared" si="5"/>
        <v>2.4284382832601042E-9</v>
      </c>
      <c r="K39" s="9">
        <f t="shared" si="6"/>
        <v>0.74870414896480908</v>
      </c>
    </row>
    <row r="40" spans="2:11" x14ac:dyDescent="0.35">
      <c r="B40" t="s">
        <v>20</v>
      </c>
      <c r="C40" s="9">
        <v>5</v>
      </c>
      <c r="D40" s="12">
        <v>0.12</v>
      </c>
      <c r="E40" s="12">
        <f>800 * 10^(-6)</f>
        <v>7.9999999999999993E-4</v>
      </c>
      <c r="F40">
        <f t="shared" si="2"/>
        <v>1.4938067059081837E-7</v>
      </c>
      <c r="G40" s="11">
        <f>2 * E40/1.1</f>
        <v>1.4545454545454542E-3</v>
      </c>
      <c r="H40" s="9">
        <f>SQRT(0.1 / (E40*F40))</f>
        <v>28927.293641616154</v>
      </c>
      <c r="I40" s="9">
        <f t="shared" si="4"/>
        <v>4603.9217733339647</v>
      </c>
      <c r="J40" s="9">
        <f t="shared" si="5"/>
        <v>2.1720612322129933E-4</v>
      </c>
      <c r="K40" s="9">
        <f t="shared" si="6"/>
        <v>6.6966134884857649</v>
      </c>
    </row>
    <row r="43" spans="2:11" x14ac:dyDescent="0.35">
      <c r="B43" t="s">
        <v>16</v>
      </c>
      <c r="C43" t="s">
        <v>21</v>
      </c>
      <c r="D43" s="3" t="s">
        <v>22</v>
      </c>
      <c r="E43" s="3" t="s">
        <v>23</v>
      </c>
      <c r="F43" t="s">
        <v>33</v>
      </c>
      <c r="G43" t="s">
        <v>24</v>
      </c>
      <c r="H43" t="s">
        <v>27</v>
      </c>
      <c r="I43" t="s">
        <v>28</v>
      </c>
      <c r="J43" t="s">
        <v>5</v>
      </c>
      <c r="K43" t="s">
        <v>29</v>
      </c>
    </row>
    <row r="44" spans="2:11" x14ac:dyDescent="0.35">
      <c r="B44" t="s">
        <v>17</v>
      </c>
      <c r="C44">
        <v>0.5</v>
      </c>
      <c r="D44" s="3">
        <v>0.99</v>
      </c>
      <c r="E44" s="3" t="s">
        <v>30</v>
      </c>
      <c r="F44" s="8" t="s">
        <v>34</v>
      </c>
      <c r="G44" s="8" t="s">
        <v>36</v>
      </c>
      <c r="H44" t="s">
        <v>39</v>
      </c>
      <c r="I44" t="s">
        <v>42</v>
      </c>
      <c r="J44" t="s">
        <v>45</v>
      </c>
      <c r="K44" t="s">
        <v>48</v>
      </c>
    </row>
    <row r="45" spans="2:11" x14ac:dyDescent="0.35">
      <c r="B45" t="s">
        <v>18</v>
      </c>
      <c r="C45">
        <v>0.5</v>
      </c>
      <c r="D45" s="3">
        <v>0.97</v>
      </c>
      <c r="E45" s="3" t="s">
        <v>31</v>
      </c>
      <c r="F45" s="8" t="s">
        <v>34</v>
      </c>
      <c r="G45" s="8" t="s">
        <v>37</v>
      </c>
      <c r="H45" t="s">
        <v>40</v>
      </c>
      <c r="I45" t="s">
        <v>43</v>
      </c>
      <c r="J45" t="s">
        <v>46</v>
      </c>
      <c r="K45">
        <v>14</v>
      </c>
    </row>
    <row r="46" spans="2:11" x14ac:dyDescent="0.35">
      <c r="B46" t="s">
        <v>19</v>
      </c>
      <c r="C46" t="s">
        <v>49</v>
      </c>
      <c r="D46">
        <v>0.5</v>
      </c>
      <c r="E46" t="s">
        <v>25</v>
      </c>
      <c r="F46" s="8" t="s">
        <v>50</v>
      </c>
      <c r="G46" s="8" t="s">
        <v>38</v>
      </c>
      <c r="H46" t="s">
        <v>51</v>
      </c>
      <c r="I46" t="s">
        <v>52</v>
      </c>
      <c r="J46" t="s">
        <v>53</v>
      </c>
      <c r="K46" t="s">
        <v>48</v>
      </c>
    </row>
    <row r="47" spans="2:11" x14ac:dyDescent="0.35">
      <c r="B47" t="s">
        <v>20</v>
      </c>
      <c r="C47">
        <v>5</v>
      </c>
      <c r="D47" s="5">
        <v>0.12</v>
      </c>
      <c r="E47" s="5" t="s">
        <v>32</v>
      </c>
      <c r="F47" s="8" t="s">
        <v>35</v>
      </c>
      <c r="G47" s="8" t="s">
        <v>26</v>
      </c>
      <c r="H47" t="s">
        <v>41</v>
      </c>
      <c r="I47" t="s">
        <v>44</v>
      </c>
      <c r="J47" t="s">
        <v>47</v>
      </c>
      <c r="K47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2024-12-08T12:44:28Z</dcterms:modified>
</cp:coreProperties>
</file>